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hidePivotFieldList="1"/>
  <bookViews>
    <workbookView windowWidth="22188" windowHeight="9060" activeTab="4"/>
  </bookViews>
  <sheets>
    <sheet name="AML Case" sheetId="1" r:id="rId1"/>
    <sheet name="Dashboard" sheetId="2" r:id="rId2"/>
    <sheet name="Risk_Profiling" sheetId="5" r:id="rId3"/>
    <sheet name="SAR_Report" sheetId="6" r:id="rId4"/>
    <sheet name="Insights" sheetId="9" r:id="rId5"/>
  </sheets>
  <definedNames>
    <definedName name="Slicer_customer_id">#N/A</definedName>
    <definedName name="Slicer_date">#N/A</definedName>
    <definedName name="Slicer_receiver_country">#N/A</definedName>
    <definedName name="Slicer_company_type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10"/>
        <x14:slicerCache r:id="rId9"/>
        <x14:slicerCache r:id="rId8"/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<sst xmlns="http://schemas.openxmlformats.org/spreadsheetml/2006/main" count="72" uniqueCount="41">
  <si>
    <t>Cross-Border Suspicious Transaction Analysis (Inspired by Estonia AML Case)</t>
  </si>
  <si>
    <t>txn_id</t>
  </si>
  <si>
    <t>customer_id</t>
  </si>
  <si>
    <t>amount</t>
  </si>
  <si>
    <t>date</t>
  </si>
  <si>
    <t>country</t>
  </si>
  <si>
    <t>receiver_country</t>
  </si>
  <si>
    <t>company_type</t>
  </si>
  <si>
    <t>Count of txn_id</t>
  </si>
  <si>
    <t>C201</t>
  </si>
  <si>
    <t>Estonia</t>
  </si>
  <si>
    <t>Russia</t>
  </si>
  <si>
    <t>Shell</t>
  </si>
  <si>
    <t>Individual</t>
  </si>
  <si>
    <t>UK</t>
  </si>
  <si>
    <t>Cyprus</t>
  </si>
  <si>
    <t>Unknown</t>
  </si>
  <si>
    <t>Latvia</t>
  </si>
  <si>
    <t>Grand Total</t>
  </si>
  <si>
    <t>C202</t>
  </si>
  <si>
    <t>Germany</t>
  </si>
  <si>
    <t>Poland</t>
  </si>
  <si>
    <t>C203</t>
  </si>
  <si>
    <t>Row Labels</t>
  </si>
  <si>
    <t>Sum of amount</t>
  </si>
  <si>
    <t>Dashboard</t>
  </si>
  <si>
    <t>Customer</t>
  </si>
  <si>
    <t>Risk Level</t>
  </si>
  <si>
    <t>Reason</t>
  </si>
  <si>
    <t>HIGH</t>
  </si>
  <si>
    <t>Shell + Multi-country + High value</t>
  </si>
  <si>
    <t>MEDIUM</t>
  </si>
  <si>
    <t>Cross-border + Moderate value</t>
  </si>
  <si>
    <t>LOW</t>
  </si>
  <si>
    <t>Local + Low value</t>
  </si>
  <si>
    <r>
      <rPr>
        <b/>
        <sz val="11"/>
        <color theme="1"/>
        <rFont val="Calibri"/>
        <charset val="134"/>
        <scheme val="minor"/>
      </rPr>
      <t>Customer:</t>
    </r>
    <r>
      <rPr>
        <sz val="11"/>
        <color theme="1"/>
        <rFont val="Calibri"/>
        <charset val="134"/>
        <scheme val="minor"/>
      </rPr>
      <t xml:space="preserve"> C201</t>
    </r>
  </si>
  <si>
    <r>
      <rPr>
        <b/>
        <sz val="11"/>
        <color theme="1"/>
        <rFont val="Calibri"/>
        <charset val="134"/>
        <scheme val="minor"/>
      </rPr>
      <t>Risk Level:</t>
    </r>
    <r>
      <rPr>
        <sz val="11"/>
        <color theme="1"/>
        <rFont val="Calibri"/>
        <charset val="134"/>
        <scheme val="minor"/>
      </rPr>
      <t xml:space="preserve"> HIGH</t>
    </r>
  </si>
  <si>
    <t>✔ High-risk customers identified</t>
  </si>
  <si>
    <t>✔ Cross-border activity detected</t>
  </si>
  <si>
    <t>✔ Layering patterns observed</t>
  </si>
  <si>
    <t>✔ Shell company involvement confirmed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</si>
</sst>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48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0" xfId="0" applyFill="1"/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58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58" fontId="0" fillId="0" borderId="0" xfId="0" applyNumberForma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33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3.xml"/><Relationship Id="rId8" Type="http://schemas.microsoft.com/office/2007/relationships/slicerCache" Target="slicerCaches/slicerCache2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microsoft.com/office/2007/relationships/slicerCache" Target="slicerCaches/slicerCache4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of AML - Kirti.xlsx]AML Case!PivotTable2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r</a:t>
            </a:r>
            <a:r>
              <a:rPr lang="en-IN"/>
              <a:t>isky</a:t>
            </a:r>
            <a:r>
              <a:rPr lang="en-IN" baseline="0"/>
              <a:t> customers</a:t>
            </a:r>
            <a:endParaRPr lang="en-IN" baseline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'AML Case'!$B$13</c:f>
              <c:strCache>
                <c:ptCount val="1"/>
                <c:pt idx="0">
                  <c:v>Sum of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'AML Case'!$A$14:$A$17</c:f>
              <c:strCache>
                <c:ptCount val="3"/>
                <c:pt idx="0">
                  <c:v>C201</c:v>
                </c:pt>
                <c:pt idx="1">
                  <c:v>C202</c:v>
                </c:pt>
                <c:pt idx="2">
                  <c:v>C203</c:v>
                </c:pt>
              </c:strCache>
            </c:strRef>
          </c:cat>
          <c:val>
            <c:numRef>
              <c:f>'AML Case'!$B$14:$B$17</c:f>
              <c:numCache>
                <c:formatCode>General</c:formatCode>
                <c:ptCount val="3"/>
                <c:pt idx="0">
                  <c:v>210000</c:v>
                </c:pt>
                <c:pt idx="1">
                  <c:v>90000</c:v>
                </c:pt>
                <c:pt idx="2">
                  <c:v>500</c:v>
                </c:pt>
              </c:numCache>
            </c:numRef>
          </c:val>
        </c:ser>
        <c:ser>
          <c:idx val="1"/>
          <c:order val="1"/>
          <c:tx>
            <c:strRef>
              <c:f>'AML Case'!$C$13</c:f>
              <c:strCache>
                <c:ptCount val="1"/>
                <c:pt idx="0">
                  <c:v>Count of txn_id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'AML Case'!$A$14:$A$17</c:f>
              <c:strCache>
                <c:ptCount val="3"/>
                <c:pt idx="0">
                  <c:v>C201</c:v>
                </c:pt>
                <c:pt idx="1">
                  <c:v>C202</c:v>
                </c:pt>
                <c:pt idx="2">
                  <c:v>C203</c:v>
                </c:pt>
              </c:strCache>
            </c:strRef>
          </c:cat>
          <c:val>
            <c:numRef>
              <c:f>'AML Case'!$C$14:$C$17</c:f>
              <c:numCache>
                <c:formatCode>General</c:formatCode>
                <c:ptCount val="3"/>
                <c:pt idx="0">
                  <c:v>4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122079"/>
        <c:axId val="81128319"/>
      </c:barChart>
      <c:catAx>
        <c:axId val="8112207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128319"/>
        <c:crosses val="autoZero"/>
        <c:auto val="1"/>
        <c:lblAlgn val="ctr"/>
        <c:lblOffset val="100"/>
        <c:noMultiLvlLbl val="0"/>
      </c:catAx>
      <c:valAx>
        <c:axId val="8112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122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a8d82a0-ec6a-4f19-b46c-b8caf9a2ac5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of AML - Kirti.xlsx]AML Case!PivotTable8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of shell vs indiviual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'AML Case'!$M$2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'AML Case'!$L$3:$L$6</c:f>
              <c:strCache>
                <c:ptCount val="3"/>
                <c:pt idx="0">
                  <c:v>Individual</c:v>
                </c:pt>
                <c:pt idx="1">
                  <c:v>Shell</c:v>
                </c:pt>
                <c:pt idx="2">
                  <c:v>Unknown</c:v>
                </c:pt>
              </c:strCache>
            </c:strRef>
          </c:cat>
          <c:val>
            <c:numRef>
              <c:f>'AML Case'!$M$3:$M$6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f1575cc-569c-4420-b53d-61aa71c2774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of AML - Kirti.xlsx]AML Case!PivotTable2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r</a:t>
            </a:r>
            <a:r>
              <a:rPr lang="en-IN"/>
              <a:t>isky</a:t>
            </a:r>
            <a:r>
              <a:rPr lang="en-IN" baseline="0"/>
              <a:t> customers</a:t>
            </a:r>
            <a:endParaRPr lang="en-IN" baseline="0"/>
          </a:p>
        </c:rich>
      </c:tx>
      <c:layout>
        <c:manualLayout>
          <c:xMode val="edge"/>
          <c:yMode val="edge"/>
          <c:x val="0.394676238999537"/>
          <c:y val="0.13320811962724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20980845905712"/>
          <c:y val="0.267747304891973"/>
          <c:w val="0.52941435755645"/>
          <c:h val="0.62303297892848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'AML Case'!$B$13</c:f>
              <c:strCache>
                <c:ptCount val="1"/>
                <c:pt idx="0">
                  <c:v>Sum of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'AML Case'!$A$14:$A$17</c:f>
              <c:strCache>
                <c:ptCount val="3"/>
                <c:pt idx="0">
                  <c:v>C201</c:v>
                </c:pt>
                <c:pt idx="1">
                  <c:v>C202</c:v>
                </c:pt>
                <c:pt idx="2">
                  <c:v>C203</c:v>
                </c:pt>
              </c:strCache>
            </c:strRef>
          </c:cat>
          <c:val>
            <c:numRef>
              <c:f>'AML Case'!$B$14:$B$17</c:f>
              <c:numCache>
                <c:formatCode>General</c:formatCode>
                <c:ptCount val="3"/>
                <c:pt idx="0">
                  <c:v>210000</c:v>
                </c:pt>
                <c:pt idx="1">
                  <c:v>90000</c:v>
                </c:pt>
                <c:pt idx="2">
                  <c:v>500</c:v>
                </c:pt>
              </c:numCache>
            </c:numRef>
          </c:val>
        </c:ser>
        <c:ser>
          <c:idx val="1"/>
          <c:order val="1"/>
          <c:tx>
            <c:strRef>
              <c:f>'AML Case'!$C$13</c:f>
              <c:strCache>
                <c:ptCount val="1"/>
                <c:pt idx="0">
                  <c:v>Count of txn_id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'AML Case'!$A$14:$A$17</c:f>
              <c:strCache>
                <c:ptCount val="3"/>
                <c:pt idx="0">
                  <c:v>C201</c:v>
                </c:pt>
                <c:pt idx="1">
                  <c:v>C202</c:v>
                </c:pt>
                <c:pt idx="2">
                  <c:v>C203</c:v>
                </c:pt>
              </c:strCache>
            </c:strRef>
          </c:cat>
          <c:val>
            <c:numRef>
              <c:f>'AML Case'!$C$14:$C$17</c:f>
              <c:numCache>
                <c:formatCode>General</c:formatCode>
                <c:ptCount val="3"/>
                <c:pt idx="0">
                  <c:v>4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122079"/>
        <c:axId val="81128319"/>
      </c:barChart>
      <c:catAx>
        <c:axId val="8112207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128319"/>
        <c:crosses val="autoZero"/>
        <c:auto val="1"/>
        <c:lblAlgn val="ctr"/>
        <c:lblOffset val="100"/>
        <c:noMultiLvlLbl val="0"/>
      </c:catAx>
      <c:valAx>
        <c:axId val="8112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122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c8f8490-1162-4bfc-9831-a151147fc3eb}"/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of AML - Kirti.xlsx]AML Case!PivotTable8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of shell vs indiviual</a:t>
            </a:r>
            <a:endParaRPr lang="en-US"/>
          </a:p>
        </c:rich>
      </c:tx>
      <c:layout>
        <c:manualLayout>
          <c:xMode val="edge"/>
          <c:yMode val="edge"/>
          <c:x val="0.351803714409117"/>
          <c:y val="0.05894832766157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'AML Case'!$M$2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'AML Case'!$L$3:$L$6</c:f>
              <c:strCache>
                <c:ptCount val="3"/>
                <c:pt idx="0">
                  <c:v>Individual</c:v>
                </c:pt>
                <c:pt idx="1">
                  <c:v>Shell</c:v>
                </c:pt>
                <c:pt idx="2">
                  <c:v>Unknown</c:v>
                </c:pt>
              </c:strCache>
            </c:strRef>
          </c:cat>
          <c:val>
            <c:numRef>
              <c:f>'AML Case'!$M$3:$M$6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acde16a-f479-41d7-8d6b-6ad2f9e72b3a}"/>
      </c:ext>
    </c:extLst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228600</xdr:colOff>
      <xdr:row>12</xdr:row>
      <xdr:rowOff>7620</xdr:rowOff>
    </xdr:from>
    <xdr:to>
      <xdr:col>8</xdr:col>
      <xdr:colOff>320040</xdr:colOff>
      <xdr:row>23</xdr:row>
      <xdr:rowOff>72390</xdr:rowOff>
    </xdr:to>
    <xdr:graphicFrame>
      <xdr:nvGraphicFramePr>
        <xdr:cNvPr id="2" name="Chart 1"/>
        <xdr:cNvGraphicFramePr/>
      </xdr:nvGraphicFramePr>
      <xdr:xfrm>
        <a:off x="3032760" y="2468880"/>
        <a:ext cx="3268980" cy="2076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114300</xdr:colOff>
      <xdr:row>6</xdr:row>
      <xdr:rowOff>148590</xdr:rowOff>
    </xdr:from>
    <xdr:to>
      <xdr:col>13</xdr:col>
      <xdr:colOff>76200</xdr:colOff>
      <xdr:row>17</xdr:row>
      <xdr:rowOff>175260</xdr:rowOff>
    </xdr:to>
    <xdr:graphicFrame>
      <xdr:nvGraphicFramePr>
        <xdr:cNvPr id="4" name="Chart 3"/>
        <xdr:cNvGraphicFramePr/>
      </xdr:nvGraphicFramePr>
      <xdr:xfrm>
        <a:off x="6713220" y="1512570"/>
        <a:ext cx="3261360" cy="2038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609600</xdr:colOff>
      <xdr:row>1</xdr:row>
      <xdr:rowOff>22861</xdr:rowOff>
    </xdr:from>
    <xdr:to>
      <xdr:col>18</xdr:col>
      <xdr:colOff>251460</xdr:colOff>
      <xdr:row>6</xdr:row>
      <xdr:rowOff>60961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customer_i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_i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14860" y="289560"/>
              <a:ext cx="1844040" cy="11353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381000</xdr:colOff>
      <xdr:row>1</xdr:row>
      <xdr:rowOff>53341</xdr:rowOff>
    </xdr:from>
    <xdr:to>
      <xdr:col>15</xdr:col>
      <xdr:colOff>502920</xdr:colOff>
      <xdr:row>6</xdr:row>
      <xdr:rowOff>68581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79380" y="320040"/>
              <a:ext cx="1828800" cy="1112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868680</xdr:colOff>
      <xdr:row>7</xdr:row>
      <xdr:rowOff>129541</xdr:rowOff>
    </xdr:from>
    <xdr:to>
      <xdr:col>18</xdr:col>
      <xdr:colOff>190500</xdr:colOff>
      <xdr:row>19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receiver_count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ceiver_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73940" y="1676400"/>
              <a:ext cx="1524000" cy="22174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563880</xdr:colOff>
      <xdr:row>7</xdr:row>
      <xdr:rowOff>121921</xdr:rowOff>
    </xdr:from>
    <xdr:to>
      <xdr:col>15</xdr:col>
      <xdr:colOff>685800</xdr:colOff>
      <xdr:row>13</xdr:row>
      <xdr:rowOff>160021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company_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pany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62260" y="1668780"/>
              <a:ext cx="1828800" cy="11353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167640</xdr:colOff>
      <xdr:row>11</xdr:row>
      <xdr:rowOff>7620</xdr:rowOff>
    </xdr:from>
    <xdr:to>
      <xdr:col>4</xdr:col>
      <xdr:colOff>342900</xdr:colOff>
      <xdr:row>31</xdr:row>
      <xdr:rowOff>137160</xdr:rowOff>
    </xdr:to>
    <xdr:graphicFrame>
      <xdr:nvGraphicFramePr>
        <xdr:cNvPr id="3" name="Chart 2"/>
        <xdr:cNvGraphicFramePr/>
      </xdr:nvGraphicFramePr>
      <xdr:xfrm>
        <a:off x="167640" y="2613660"/>
        <a:ext cx="3992880" cy="37871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266700</xdr:colOff>
      <xdr:row>2</xdr:row>
      <xdr:rowOff>106680</xdr:rowOff>
    </xdr:from>
    <xdr:to>
      <xdr:col>14</xdr:col>
      <xdr:colOff>205740</xdr:colOff>
      <xdr:row>19</xdr:row>
      <xdr:rowOff>0</xdr:rowOff>
    </xdr:to>
    <xdr:graphicFrame>
      <xdr:nvGraphicFramePr>
        <xdr:cNvPr id="4" name="Chart 3"/>
        <xdr:cNvGraphicFramePr/>
      </xdr:nvGraphicFramePr>
      <xdr:xfrm>
        <a:off x="4693920" y="1066800"/>
        <a:ext cx="5425440" cy="3002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76200</xdr:colOff>
      <xdr:row>2</xdr:row>
      <xdr:rowOff>53340</xdr:rowOff>
    </xdr:from>
    <xdr:to>
      <xdr:col>21</xdr:col>
      <xdr:colOff>76200</xdr:colOff>
      <xdr:row>8</xdr:row>
      <xdr:rowOff>68580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dat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28220" y="1013460"/>
              <a:ext cx="1828800" cy="1112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541020</xdr:colOff>
      <xdr:row>2</xdr:row>
      <xdr:rowOff>30480</xdr:rowOff>
    </xdr:from>
    <xdr:to>
      <xdr:col>17</xdr:col>
      <xdr:colOff>541020</xdr:colOff>
      <xdr:row>8</xdr:row>
      <xdr:rowOff>68580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customer_id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_id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54640" y="990600"/>
              <a:ext cx="1828800" cy="11353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541020</xdr:colOff>
      <xdr:row>10</xdr:row>
      <xdr:rowOff>53340</xdr:rowOff>
    </xdr:from>
    <xdr:to>
      <xdr:col>17</xdr:col>
      <xdr:colOff>541020</xdr:colOff>
      <xdr:row>16</xdr:row>
      <xdr:rowOff>91440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company_typ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pany_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54640" y="2476500"/>
              <a:ext cx="1828800" cy="11353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213360</xdr:colOff>
      <xdr:row>10</xdr:row>
      <xdr:rowOff>0</xdr:rowOff>
    </xdr:from>
    <xdr:to>
      <xdr:col>20</xdr:col>
      <xdr:colOff>502920</xdr:colOff>
      <xdr:row>22</xdr:row>
      <xdr:rowOff>22859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receiver_country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ceiver_count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65380" y="2423160"/>
              <a:ext cx="1508760" cy="22167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266700</xdr:colOff>
      <xdr:row>2</xdr:row>
      <xdr:rowOff>0</xdr:rowOff>
    </xdr:from>
    <xdr:to>
      <xdr:col>3</xdr:col>
      <xdr:colOff>588848</xdr:colOff>
      <xdr:row>9</xdr:row>
      <xdr:rowOff>175260</xdr:rowOff>
    </xdr:to>
    <xdr:pic>
      <xdr:nvPicPr>
        <xdr:cNvPr id="12" name="Picture 11"/>
        <xdr:cNvPicPr>
          <a:picLocks noChangeAspect="1" noChangeArrowheads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6700" y="960120"/>
          <a:ext cx="3529965" cy="1455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160020</xdr:colOff>
      <xdr:row>20</xdr:row>
      <xdr:rowOff>99060</xdr:rowOff>
    </xdr:from>
    <xdr:to>
      <xdr:col>17</xdr:col>
      <xdr:colOff>472440</xdr:colOff>
      <xdr:row>30</xdr:row>
      <xdr:rowOff>7620</xdr:rowOff>
    </xdr:to>
    <xdr:sp>
      <xdr:nvSpPr>
        <xdr:cNvPr id="13" name="Rectangle 12"/>
        <xdr:cNvSpPr/>
      </xdr:nvSpPr>
      <xdr:spPr>
        <a:xfrm>
          <a:off x="7025640" y="4351020"/>
          <a:ext cx="5189220" cy="173736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Insights:</a:t>
          </a:r>
          <a:endParaRPr lang="en-IN" sz="2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IN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- C201 shows high-risk behavior with multi-country transactions.</a:t>
          </a:r>
          <a:endParaRPr lang="en-IN" sz="2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IN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- Shell company involvement detected.</a:t>
          </a:r>
          <a:endParaRPr lang="en-IN" sz="2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IN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- Cross-border transactions dominate dataset.</a:t>
          </a:r>
          <a:endParaRPr lang="en-IN" sz="2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27.6528100694" refreshedBy="Kirti Khatri" recordCount="8">
  <cacheSource type="worksheet">
    <worksheetSource ref="A2:G10" sheet="AML Case"/>
  </cacheSource>
  <cacheFields count="7">
    <cacheField name="txn_id" numFmtId="0"/>
    <cacheField name="customer_id" numFmtId="0">
      <sharedItems count="3">
        <s v="C201"/>
        <s v="C202"/>
        <s v="C203"/>
      </sharedItems>
    </cacheField>
    <cacheField name="amount" numFmtId="0"/>
    <cacheField name="date" numFmtId="58">
      <sharedItems containsSemiMixedTypes="0" containsString="0" containsNonDate="0" containsDate="1" minDate="2024-01-01T00:00:00" maxDate="2024-01-03T00:00:00" count="3">
        <d v="2024-01-01T00:00:00"/>
        <d v="2024-01-02T00:00:00"/>
        <d v="2024-01-03T00:00:00"/>
      </sharedItems>
    </cacheField>
    <cacheField name="country" numFmtId="0">
      <sharedItems count="1">
        <s v="Estonia"/>
      </sharedItems>
    </cacheField>
    <cacheField name="receiver_country" numFmtId="0">
      <sharedItems count="7">
        <s v="Russia"/>
        <s v="UK"/>
        <s v="Cyprus"/>
        <s v="Latvia"/>
        <s v="Germany"/>
        <s v="Poland"/>
        <s v="Estonia"/>
      </sharedItems>
    </cacheField>
    <cacheField name="company_type" numFmtId="0">
      <sharedItems count="3">
        <s v="Shell"/>
        <s v="Unknown"/>
        <s v="Individual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1"/>
    <x v="0"/>
    <n v="50000"/>
    <x v="0"/>
    <x v="0"/>
    <x v="0"/>
    <x v="0"/>
  </r>
  <r>
    <n v="2"/>
    <x v="0"/>
    <n v="60000"/>
    <x v="1"/>
    <x v="0"/>
    <x v="1"/>
    <x v="0"/>
  </r>
  <r>
    <n v="3"/>
    <x v="0"/>
    <n v="55000"/>
    <x v="2"/>
    <x v="0"/>
    <x v="2"/>
    <x v="0"/>
  </r>
  <r>
    <n v="4"/>
    <x v="0"/>
    <n v="45000"/>
    <x v="2"/>
    <x v="0"/>
    <x v="3"/>
    <x v="0"/>
  </r>
  <r>
    <n v="5"/>
    <x v="1"/>
    <n v="70000"/>
    <x v="0"/>
    <x v="0"/>
    <x v="4"/>
    <x v="1"/>
  </r>
  <r>
    <n v="6"/>
    <x v="1"/>
    <n v="20000"/>
    <x v="1"/>
    <x v="0"/>
    <x v="5"/>
    <x v="1"/>
  </r>
  <r>
    <n v="7"/>
    <x v="2"/>
    <n v="200"/>
    <x v="0"/>
    <x v="0"/>
    <x v="6"/>
    <x v="2"/>
  </r>
  <r>
    <n v="8"/>
    <x v="2"/>
    <n v="300"/>
    <x v="1"/>
    <x v="0"/>
    <x v="6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company_type" chartFormat="10">
  <location ref="L2:M6" firstHeaderRow="1" firstDataRow="1" firstDataCol="1"/>
  <pivotFields count="7">
    <pivotField dataField="1" showAll="0"/>
    <pivotField showAll="0">
      <items count="4">
        <item x="0"/>
        <item x="1"/>
        <item x="2"/>
        <item t="default"/>
      </items>
    </pivotField>
    <pivotField showAll="0"/>
    <pivotField numFmtId="58" showAll="0">
      <items count="4">
        <item x="0"/>
        <item x="1"/>
        <item x="2"/>
        <item t="default"/>
      </items>
    </pivotField>
    <pivotField showAll="0"/>
    <pivotField showAll="0">
      <items count="8">
        <item x="2"/>
        <item x="6"/>
        <item x="4"/>
        <item x="3"/>
        <item x="5"/>
        <item x="0"/>
        <item x="1"/>
        <item t="default"/>
      </items>
    </pivotField>
    <pivotField axis="axisRow" showAll="0">
      <items count="4">
        <item x="2"/>
        <item x="0"/>
        <item x="1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xn_id" fld="0" subtotal="count" baseField="1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company_type" chartFormat="19">
  <location ref="A13:C17" firstHeaderRow="0" firstDataRow="1" firstDataCol="1"/>
  <pivotFields count="7">
    <pivotField dataField="1" showAll="0"/>
    <pivotField axis="axisRow" showAll="0">
      <items count="4">
        <item x="0"/>
        <item x="1"/>
        <item x="2"/>
        <item t="default"/>
      </items>
    </pivotField>
    <pivotField dataField="1" showAll="0"/>
    <pivotField numFmtId="58" showAll="0">
      <items count="4">
        <item x="0"/>
        <item x="1"/>
        <item x="2"/>
        <item t="default"/>
      </items>
    </pivotField>
    <pivotField showAll="0"/>
    <pivotField showAll="0">
      <items count="8">
        <item x="2"/>
        <item x="6"/>
        <item x="4"/>
        <item x="3"/>
        <item x="5"/>
        <item x="0"/>
        <item x="1"/>
        <item t="default"/>
      </items>
    </pivotField>
    <pivotField showAll="0">
      <items count="4">
        <item x="2"/>
        <item x="0"/>
        <item x="1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2" baseField="0" baseItem="0"/>
    <dataField name="Count of txn_id" fld="0" subtotal="count" baseField="1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ustomer_id" sourceName="customer_id">
  <pivotTables>
    <pivotTable tabId="1" name="PivotTable2"/>
    <pivotTable tabId="1" name="PivotTable8"/>
  </pivotTables>
  <data>
    <tabular pivotCacheId="1">
      <items count="3">
        <i x="0" s="1"/>
        <i x="1" s="1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ate" sourceName="date">
  <pivotTables>
    <pivotTable tabId="1" name="PivotTable2"/>
    <pivotTable tabId="1" name="PivotTable8"/>
  </pivotTables>
  <data>
    <tabular pivotCacheId="1">
      <items count="3">
        <i x="0" s="1"/>
        <i x="1" s="1"/>
        <i x="2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ceiver_country" sourceName="receiver_country">
  <pivotTables>
    <pivotTable tabId="1" name="PivotTable2"/>
    <pivotTable tabId="1" name="PivotTable8"/>
  </pivotTables>
  <data>
    <tabular pivotCacheId="1">
      <items count="7">
        <i x="2" s="1"/>
        <i x="6" s="1"/>
        <i x="4" s="1"/>
        <i x="3" s="1"/>
        <i x="5" s="1"/>
        <i x="0" s="1"/>
        <i x="1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mpany_type" sourceName="company_type">
  <pivotTables>
    <pivotTable tabId="1" name="PivotTable2"/>
    <pivotTable tabId="1" name="PivotTable8"/>
  </pivotTables>
  <data>
    <tabular pivotCacheId="1">
      <items count="3">
        <i x="2" s="1"/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ustomer_id" cache="Slicer_customer_id" caption="customer_id" startItem="1" rowHeight="234950"/>
  <slicer name="date" cache="Slicer_date" caption="date" rowHeight="234950"/>
  <slicer name="receiver_country" cache="Slicer_receiver_country" caption="receiver_country" rowHeight="234950"/>
  <slicer name="company_type" cache="Slicer_company_type" caption="company_type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ustomer_id 1" cache="Slicer_customer_id" caption="customer_id" rowHeight="234950"/>
  <slicer name="date 1" cache="Slicer_date" caption="date" startItem="1" rowHeight="234950"/>
  <slicer name="receiver_country 1" cache="Slicer_receiver_country" caption="receiver_country" rowHeight="234950"/>
  <slicer name="company_type 1" cache="Slicer_company_type" caption="company_type" rowHeight="234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microsoft.com/office/2007/relationships/slicer" Target="../slicers/slicer1.xml"/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workbookViewId="0">
      <selection activeCell="A1" sqref="A1:K1"/>
    </sheetView>
  </sheetViews>
  <sheetFormatPr defaultColWidth="9" defaultRowHeight="14.4"/>
  <cols>
    <col min="1" max="1" width="12.5555555555556" customWidth="1"/>
    <col min="2" max="2" width="14.2222222222222" customWidth="1"/>
    <col min="3" max="3" width="14.1111111111111" customWidth="1"/>
    <col min="4" max="4" width="10.3333333333333" customWidth="1"/>
    <col min="12" max="12" width="16" customWidth="1"/>
    <col min="13" max="14" width="14.1111111111111" customWidth="1"/>
    <col min="15" max="15" width="10.7777777777778" customWidth="1"/>
    <col min="16" max="16" width="14.1111111111111" customWidth="1"/>
  </cols>
  <sheetData>
    <row r="1" ht="21" spans="1:1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ht="28.8" spans="1:13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L2" t="s">
        <v>7</v>
      </c>
      <c r="M2" t="s">
        <v>8</v>
      </c>
    </row>
    <row r="3" spans="1:13">
      <c r="A3" s="8">
        <v>1</v>
      </c>
      <c r="B3" s="8" t="s">
        <v>9</v>
      </c>
      <c r="C3" s="8">
        <v>50000</v>
      </c>
      <c r="D3" s="9">
        <v>45292</v>
      </c>
      <c r="E3" s="8" t="s">
        <v>10</v>
      </c>
      <c r="F3" s="8" t="s">
        <v>11</v>
      </c>
      <c r="G3" s="8" t="s">
        <v>12</v>
      </c>
      <c r="L3" s="10" t="s">
        <v>13</v>
      </c>
      <c r="M3" s="11">
        <v>2</v>
      </c>
    </row>
    <row r="4" spans="1:13">
      <c r="A4" s="8">
        <v>2</v>
      </c>
      <c r="B4" s="8" t="s">
        <v>9</v>
      </c>
      <c r="C4" s="8">
        <v>60000</v>
      </c>
      <c r="D4" s="9">
        <v>45293</v>
      </c>
      <c r="E4" s="8" t="s">
        <v>10</v>
      </c>
      <c r="F4" s="8" t="s">
        <v>14</v>
      </c>
      <c r="G4" s="8" t="s">
        <v>12</v>
      </c>
      <c r="L4" s="10" t="s">
        <v>12</v>
      </c>
      <c r="M4" s="11">
        <v>4</v>
      </c>
    </row>
    <row r="5" spans="1:13">
      <c r="A5" s="8">
        <v>3</v>
      </c>
      <c r="B5" s="8" t="s">
        <v>9</v>
      </c>
      <c r="C5" s="8">
        <v>55000</v>
      </c>
      <c r="D5" s="9">
        <v>45294</v>
      </c>
      <c r="E5" s="8" t="s">
        <v>10</v>
      </c>
      <c r="F5" s="8" t="s">
        <v>15</v>
      </c>
      <c r="G5" s="8" t="s">
        <v>12</v>
      </c>
      <c r="L5" s="10" t="s">
        <v>16</v>
      </c>
      <c r="M5" s="11">
        <v>2</v>
      </c>
    </row>
    <row r="6" spans="1:13">
      <c r="A6" s="8">
        <v>4</v>
      </c>
      <c r="B6" s="8" t="s">
        <v>9</v>
      </c>
      <c r="C6" s="8">
        <v>45000</v>
      </c>
      <c r="D6" s="9">
        <v>45294</v>
      </c>
      <c r="E6" s="8" t="s">
        <v>10</v>
      </c>
      <c r="F6" s="8" t="s">
        <v>17</v>
      </c>
      <c r="G6" s="8" t="s">
        <v>12</v>
      </c>
      <c r="L6" s="10" t="s">
        <v>18</v>
      </c>
      <c r="M6" s="11">
        <v>8</v>
      </c>
    </row>
    <row r="7" spans="1:13">
      <c r="A7" s="8">
        <v>5</v>
      </c>
      <c r="B7" s="8" t="s">
        <v>19</v>
      </c>
      <c r="C7" s="8">
        <v>70000</v>
      </c>
      <c r="D7" s="9">
        <v>45292</v>
      </c>
      <c r="E7" s="8" t="s">
        <v>10</v>
      </c>
      <c r="F7" s="8" t="s">
        <v>20</v>
      </c>
      <c r="G7" s="8" t="s">
        <v>16</v>
      </c>
    </row>
    <row r="8" spans="1:13">
      <c r="A8" s="8">
        <v>6</v>
      </c>
      <c r="B8" s="8" t="s">
        <v>19</v>
      </c>
      <c r="C8" s="8">
        <v>20000</v>
      </c>
      <c r="D8" s="9">
        <v>45293</v>
      </c>
      <c r="E8" s="8" t="s">
        <v>10</v>
      </c>
      <c r="F8" s="8" t="s">
        <v>21</v>
      </c>
      <c r="G8" s="8" t="s">
        <v>16</v>
      </c>
    </row>
    <row r="9" spans="1:13">
      <c r="A9" s="8">
        <v>7</v>
      </c>
      <c r="B9" s="8" t="s">
        <v>22</v>
      </c>
      <c r="C9" s="8">
        <v>200</v>
      </c>
      <c r="D9" s="9">
        <v>45292</v>
      </c>
      <c r="E9" s="8" t="s">
        <v>10</v>
      </c>
      <c r="F9" s="8" t="s">
        <v>10</v>
      </c>
      <c r="G9" s="8" t="s">
        <v>13</v>
      </c>
    </row>
    <row r="10" spans="1:13">
      <c r="A10" s="8">
        <v>8</v>
      </c>
      <c r="B10" s="8" t="s">
        <v>22</v>
      </c>
      <c r="C10" s="8">
        <v>300</v>
      </c>
      <c r="D10" s="9">
        <v>45293</v>
      </c>
      <c r="E10" s="8" t="s">
        <v>10</v>
      </c>
      <c r="F10" s="8" t="s">
        <v>10</v>
      </c>
      <c r="G10" s="8" t="s">
        <v>13</v>
      </c>
    </row>
    <row r="11" spans="1:13">
      <c r="A11" s="12"/>
      <c r="B11" s="12"/>
      <c r="C11" s="13"/>
      <c r="D11" s="14"/>
      <c r="E11" s="12"/>
      <c r="F11" s="12"/>
      <c r="G11" s="12"/>
    </row>
    <row r="13" spans="1:13">
      <c r="A13" t="s">
        <v>23</v>
      </c>
      <c r="B13" t="s">
        <v>24</v>
      </c>
      <c r="C13" t="s">
        <v>8</v>
      </c>
    </row>
    <row r="14" spans="1:13">
      <c r="A14" s="10" t="s">
        <v>9</v>
      </c>
      <c r="B14" s="11">
        <v>210000</v>
      </c>
      <c r="C14" s="11">
        <v>4</v>
      </c>
    </row>
    <row r="15" spans="1:13">
      <c r="A15" s="10" t="s">
        <v>19</v>
      </c>
      <c r="B15" s="11">
        <v>90000</v>
      </c>
      <c r="C15" s="11">
        <v>2</v>
      </c>
    </row>
    <row r="16" spans="1:13">
      <c r="A16" s="10" t="s">
        <v>22</v>
      </c>
      <c r="B16" s="11">
        <v>500</v>
      </c>
      <c r="C16" s="11">
        <v>2</v>
      </c>
    </row>
    <row r="17" spans="1:3">
      <c r="A17" s="10" t="s">
        <v>18</v>
      </c>
      <c r="B17" s="11">
        <v>300500</v>
      </c>
      <c r="C17" s="11">
        <v>8</v>
      </c>
    </row>
  </sheetData>
  <mergeCells count="1">
    <mergeCell ref="A1:K1"/>
  </mergeCells>
  <conditionalFormatting sqref="C3:C10">
    <cfRule type="cellIs" dxfId="0" priority="7" operator="greaterThan">
      <formula>10000</formula>
    </cfRule>
  </conditionalFormatting>
  <conditionalFormatting sqref="C14:C16">
    <cfRule type="cellIs" dxfId="1" priority="2" operator="greaterThan">
      <formula>2</formula>
    </cfRule>
  </conditionalFormatting>
  <conditionalFormatting sqref="G3:G11">
    <cfRule type="containsText" dxfId="2" priority="3" operator="between" text="Shell">
      <formula>NOT(ISERROR(SEARCH("Shell",G3)))</formula>
    </cfRule>
    <cfRule type="containsText" dxfId="3" priority="4" operator="between" text="Shell">
      <formula>NOT(ISERROR(SEARCH("Shell",G3)))</formula>
    </cfRule>
    <cfRule type="containsText" priority="5" operator="between" text="Shell">
      <formula>NOT(ISERROR(SEARCH("Shell",G3)))</formula>
    </cfRule>
    <cfRule type="containsText" priority="6" operator="between" text="Shell">
      <formula>NOT(ISERROR(SEARCH("Shell",G3)))</formula>
    </cfRule>
  </conditionalFormatting>
  <pageMargins left="0.7" right="0.7" top="0.75" bottom="0.75" header="0.3" footer="0.3"/>
  <headerFooter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workbookViewId="0">
      <selection activeCell="H25" sqref="H25"/>
    </sheetView>
  </sheetViews>
  <sheetFormatPr defaultColWidth="9" defaultRowHeight="14.4"/>
  <cols>
    <col min="1" max="1" width="27.3333333333333" style="4" customWidth="1"/>
    <col min="2" max="2" width="10.5555555555556" style="4" customWidth="1"/>
    <col min="3" max="16384" width="8.88888888888889" style="4"/>
  </cols>
  <sheetData>
    <row r="1" ht="61.2" spans="1:21">
      <c r="A1" s="5" t="s">
        <v>25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</sheetData>
  <mergeCells count="1">
    <mergeCell ref="A1:U1"/>
  </mergeCells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E5" sqref="E5"/>
    </sheetView>
  </sheetViews>
  <sheetFormatPr defaultColWidth="9" defaultRowHeight="14.4" outlineLevelRow="3" outlineLevelCol="2"/>
  <cols>
    <col min="1" max="1" width="8.44444444444444" customWidth="1"/>
    <col min="2" max="2" width="9.11111111111111" customWidth="1"/>
    <col min="3" max="3" width="28.4444444444444" customWidth="1"/>
  </cols>
  <sheetData>
    <row r="1" spans="1:3">
      <c r="A1" s="2" t="s">
        <v>26</v>
      </c>
      <c r="B1" s="2" t="s">
        <v>27</v>
      </c>
      <c r="C1" s="2" t="s">
        <v>28</v>
      </c>
    </row>
    <row r="2" spans="1:3">
      <c r="A2" s="3" t="s">
        <v>9</v>
      </c>
      <c r="B2" s="3" t="s">
        <v>29</v>
      </c>
      <c r="C2" s="3" t="s">
        <v>30</v>
      </c>
    </row>
    <row r="3" spans="1:3">
      <c r="A3" s="3" t="s">
        <v>19</v>
      </c>
      <c r="B3" s="3" t="s">
        <v>31</v>
      </c>
      <c r="C3" s="3" t="s">
        <v>32</v>
      </c>
    </row>
    <row r="4" spans="1:3">
      <c r="A4" s="3" t="s">
        <v>22</v>
      </c>
      <c r="B4" s="3" t="s">
        <v>33</v>
      </c>
      <c r="C4" s="3" t="s">
        <v>34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C4" sqref="C4"/>
    </sheetView>
  </sheetViews>
  <sheetFormatPr defaultColWidth="9" defaultRowHeight="14.4" outlineLevelRow="1"/>
  <cols>
    <col min="1" max="1" width="14.4444444444444" customWidth="1"/>
  </cols>
  <sheetData>
    <row r="1" spans="1:1">
      <c r="A1" s="1" t="s">
        <v>35</v>
      </c>
    </row>
    <row r="2" spans="1:1">
      <c r="A2" s="1" t="s">
        <v>36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workbookViewId="0">
      <selection activeCell="C3" sqref="C3"/>
    </sheetView>
  </sheetViews>
  <sheetFormatPr defaultColWidth="9" defaultRowHeight="14.4" outlineLevelRow="3"/>
  <cols>
    <col min="1" max="1" width="35.3333333333333" customWidth="1"/>
  </cols>
  <sheetData>
    <row r="1" spans="1:1">
      <c r="A1" t="s">
        <v>37</v>
      </c>
    </row>
    <row r="2" spans="1:1">
      <c r="A2" t="s">
        <v>38</v>
      </c>
    </row>
    <row r="3" spans="1:1">
      <c r="A3" t="s">
        <v>39</v>
      </c>
    </row>
    <row r="4" spans="1:1">
      <c r="A4" t="s">
        <v>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AML Case</vt:lpstr>
      <vt:lpstr>Dashboard</vt:lpstr>
      <vt:lpstr>Risk_Profiling</vt:lpstr>
      <vt:lpstr>SAR_Report</vt:lpstr>
      <vt:lpstr>Insights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 Khatri</dc:creator>
  <cp:lastModifiedBy>kirti</cp:lastModifiedBy>
  <dcterms:created xsi:type="dcterms:W3CDTF">2026-04-15T11:49:00Z</dcterms:created>
  <dcterms:modified xsi:type="dcterms:W3CDTF">2026-10-23T12:40:17Z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8A68E74AA8F543F0943C1E5822DD0AF5_12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